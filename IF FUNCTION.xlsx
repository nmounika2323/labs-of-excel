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384" documentId="11_0B1D56BE9CDCCE836B02CE7A5FB0D4A9BBFD1C62" xr6:coauthVersionLast="47" xr6:coauthVersionMax="47" xr10:uidLastSave="{0565006E-3EF6-49FC-97E5-B95E77A2245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G53" i="1"/>
  <c r="G54" i="1"/>
  <c r="G55" i="1"/>
  <c r="G56" i="1"/>
  <c r="G57" i="1"/>
  <c r="G58" i="1"/>
  <c r="G59" i="1"/>
  <c r="G60" i="1"/>
  <c r="F36" i="1"/>
  <c r="G36" i="1"/>
  <c r="F37" i="1"/>
  <c r="G37" i="1"/>
  <c r="F38" i="1"/>
  <c r="G38" i="1"/>
  <c r="F39" i="1"/>
  <c r="G39" i="1"/>
  <c r="F40" i="1"/>
  <c r="G40" i="1"/>
  <c r="G24" i="1"/>
  <c r="G25" i="1"/>
  <c r="G26" i="1"/>
  <c r="G27" i="1"/>
  <c r="G28" i="1"/>
  <c r="G16" i="1"/>
  <c r="G14" i="1"/>
  <c r="G13" i="1"/>
  <c r="G12" i="1"/>
  <c r="G10" i="1"/>
  <c r="G15" i="1"/>
  <c r="G11" i="1"/>
</calcChain>
</file>

<file path=xl/sharedStrings.xml><?xml version="1.0" encoding="utf-8"?>
<sst xmlns="http://schemas.openxmlformats.org/spreadsheetml/2006/main" count="87" uniqueCount="56">
  <si>
    <t>IF FUNCTION</t>
  </si>
  <si>
    <t>no-1</t>
  </si>
  <si>
    <t>no-2</t>
  </si>
  <si>
    <t xml:space="preserve">Ans as </t>
  </si>
  <si>
    <t>formula</t>
  </si>
  <si>
    <t>True,false</t>
  </si>
  <si>
    <t>1,0</t>
  </si>
  <si>
    <t>pass,fail</t>
  </si>
  <si>
    <t>PASS,FAIL</t>
  </si>
  <si>
    <t>yes,no</t>
  </si>
  <si>
    <t>no-1+no-2,0</t>
  </si>
  <si>
    <t>today(),today()+5</t>
  </si>
  <si>
    <t>NESTED IF</t>
  </si>
  <si>
    <t>&gt;60</t>
  </si>
  <si>
    <t>Distinction</t>
  </si>
  <si>
    <t>&gt;40</t>
  </si>
  <si>
    <t>Pass</t>
  </si>
  <si>
    <t>&lt;40</t>
  </si>
  <si>
    <t>Fail</t>
  </si>
  <si>
    <t xml:space="preserve">name </t>
  </si>
  <si>
    <t>markes</t>
  </si>
  <si>
    <t>result</t>
  </si>
  <si>
    <t>anu</t>
  </si>
  <si>
    <t>mounika</t>
  </si>
  <si>
    <t>preethi</t>
  </si>
  <si>
    <t>swetha</t>
  </si>
  <si>
    <t>sowmnya</t>
  </si>
  <si>
    <t>AND /OR FUNCTION</t>
  </si>
  <si>
    <t>SUB-1</t>
  </si>
  <si>
    <t>SUB-2</t>
  </si>
  <si>
    <t>AND</t>
  </si>
  <si>
    <t>OR</t>
  </si>
  <si>
    <t>A</t>
  </si>
  <si>
    <t>T</t>
  </si>
  <si>
    <t>B</t>
  </si>
  <si>
    <t>F</t>
  </si>
  <si>
    <t>C</t>
  </si>
  <si>
    <t>D</t>
  </si>
  <si>
    <t>E</t>
  </si>
  <si>
    <t>AND FUNCTION</t>
  </si>
  <si>
    <t>name</t>
  </si>
  <si>
    <t>marks</t>
  </si>
  <si>
    <t>a</t>
  </si>
  <si>
    <t>b</t>
  </si>
  <si>
    <t>c</t>
  </si>
  <si>
    <t>d</t>
  </si>
  <si>
    <t>e</t>
  </si>
  <si>
    <t>&lt;60</t>
  </si>
  <si>
    <t>pass</t>
  </si>
  <si>
    <t>f</t>
  </si>
  <si>
    <t>&lt;=100</t>
  </si>
  <si>
    <t>g</t>
  </si>
  <si>
    <t>&lt;100</t>
  </si>
  <si>
    <t>Invalid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</si>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</sst>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0" borderId="1" xfId="0" applyBorder="1"/>
    <xf numFmtId="0" fontId="1" fillId="4" borderId="0" xfId="0" applyFont="1" applyFill="1"/>
    <xf numFmtId="0" fontId="0" fillId="4" borderId="0" xfId="0" applyFill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4" borderId="1" xfId="0" applyFont="1" applyFill="1" applyBorder="1"/>
    <xf numFmtId="0" fontId="0" fillId="4" borderId="1" xfId="0" applyFill="1" applyBorder="1"/>
    <xf numFmtId="0" fontId="4" fillId="6" borderId="1" xfId="0" applyFont="1" applyFill="1" applyBorder="1"/>
    <xf numFmtId="0" fontId="0" fillId="0" borderId="1" xfId="0" applyBorder="1" applyAlignment="1">
      <alignment wrapText="1"/>
    </xf>
    <xf numFmtId="0" fontId="4" fillId="5" borderId="1" xfId="0" applyFont="1" applyFill="1" applyBorder="1"/>
    <xf numFmtId="0" fontId="4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6" borderId="0" xfId="0" applyFill="1"/>
    <xf numFmtId="0" fontId="0" fillId="8" borderId="1" xfId="0" applyFill="1" applyBorder="1"/>
    <xf numFmtId="0" fontId="3" fillId="7" borderId="0" xfId="0" applyFont="1" applyFill="1" applyAlignment="1">
      <alignment horizontal="center"/>
    </xf>
    <xf numFmtId="0" fontId="3" fillId="7" borderId="0" xfId="0" applyFont="1" applyFill="1"/>
    <xf numFmtId="0" fontId="0" fillId="9" borderId="0" xfId="0" applyFill="1"/>
    <xf numFmtId="0" fontId="0" fillId="10" borderId="0" xfId="0" applyFill="1"/>
    <xf numFmtId="0" fontId="6" fillId="10" borderId="0" xfId="0" applyFont="1" applyFill="1"/>
    <xf numFmtId="0" fontId="1" fillId="10" borderId="0" xfId="0" applyFont="1" applyFill="1"/>
    <xf numFmtId="0" fontId="7" fillId="0" borderId="0" xfId="0" applyFont="1"/>
    <xf numFmtId="0" fontId="5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60"/>
  <sheetViews>
    <sheetView tabSelected="1" workbookViewId="0">
      <selection activeCell="G28" sqref="G28"/>
    </sheetView>
  </sheetViews>
  <sheetFormatPr defaultRowHeight="15"/>
  <cols>
    <col min="2" max="2" width="12.140625" bestFit="1" customWidth="1"/>
    <col min="6" max="6" width="15.7109375" bestFit="1" customWidth="1"/>
    <col min="7" max="7" width="28.85546875" bestFit="1" customWidth="1"/>
  </cols>
  <sheetData>
    <row r="3" spans="2:7" ht="31.5">
      <c r="B3" s="3" t="s">
        <v>0</v>
      </c>
      <c r="C3" s="4"/>
      <c r="D3" s="4"/>
    </row>
    <row r="7" spans="2:7">
      <c r="B7" s="1" t="s">
        <v>1</v>
      </c>
      <c r="C7" s="1" t="s">
        <v>2</v>
      </c>
    </row>
    <row r="8" spans="2:7">
      <c r="B8">
        <v>56</v>
      </c>
      <c r="C8">
        <v>98</v>
      </c>
    </row>
    <row r="9" spans="2:7">
      <c r="F9" s="7" t="s">
        <v>3</v>
      </c>
      <c r="G9" s="5" t="s">
        <v>4</v>
      </c>
    </row>
    <row r="10" spans="2:7">
      <c r="F10" s="8" t="s">
        <v>5</v>
      </c>
      <c r="G10" s="6" t="str">
        <f>IF(B8&gt;C8,"true","flase")</f>
        <v>flase</v>
      </c>
    </row>
    <row r="11" spans="2:7">
      <c r="F11" s="8" t="s">
        <v>6</v>
      </c>
      <c r="G11" s="6">
        <f>IF(B8&gt;C8,1,0)</f>
        <v>0</v>
      </c>
    </row>
    <row r="12" spans="2:7">
      <c r="F12" s="8" t="s">
        <v>7</v>
      </c>
      <c r="G12" s="6" t="str">
        <f>IF(B8&gt;C8,"pass","fail")</f>
        <v>fail</v>
      </c>
    </row>
    <row r="13" spans="2:7">
      <c r="F13" s="8" t="s">
        <v>8</v>
      </c>
      <c r="G13" s="6" t="str">
        <f>IF(B8&gt;C8,UPPER(B8),UPPER(C8))</f>
        <v>98</v>
      </c>
    </row>
    <row r="14" spans="2:7">
      <c r="F14" s="8" t="s">
        <v>9</v>
      </c>
      <c r="G14" s="6" t="str">
        <f>IF(B8&gt;C8,"yes","no")</f>
        <v>no</v>
      </c>
    </row>
    <row r="15" spans="2:7">
      <c r="F15" s="8" t="s">
        <v>10</v>
      </c>
      <c r="G15" s="6">
        <f>IF(B8&lt;C8,B8+C8,0)</f>
        <v>154</v>
      </c>
    </row>
    <row r="16" spans="2:7">
      <c r="F16" s="8" t="s">
        <v>11</v>
      </c>
      <c r="G16" s="6">
        <f ca="1">IF(B8&gt;C8,TODAY(),TODAY()+5)</f>
        <v>45990</v>
      </c>
    </row>
    <row r="20" spans="2:7" ht="26.25">
      <c r="B20" s="9" t="s">
        <v>12</v>
      </c>
      <c r="C20" s="10"/>
    </row>
    <row r="21" spans="2:7">
      <c r="B21" s="2" t="s">
        <v>13</v>
      </c>
      <c r="C21" s="2" t="s">
        <v>14</v>
      </c>
    </row>
    <row r="22" spans="2:7">
      <c r="B22" s="2" t="s">
        <v>15</v>
      </c>
      <c r="C22" s="2" t="s">
        <v>16</v>
      </c>
    </row>
    <row r="23" spans="2:7">
      <c r="B23" s="2" t="s">
        <v>17</v>
      </c>
      <c r="C23" s="2" t="s">
        <v>18</v>
      </c>
      <c r="E23" s="18" t="s">
        <v>19</v>
      </c>
      <c r="F23" s="18" t="s">
        <v>20</v>
      </c>
      <c r="G23" s="18" t="s">
        <v>21</v>
      </c>
    </row>
    <row r="24" spans="2:7">
      <c r="E24" s="2" t="s">
        <v>22</v>
      </c>
      <c r="F24" s="2">
        <v>78</v>
      </c>
      <c r="G24" s="12" t="str">
        <f>IF(F24&gt;60,"Distinction",IF(F24&gt;40,"pass","fail"))</f>
        <v>Distinction</v>
      </c>
    </row>
    <row r="25" spans="2:7">
      <c r="E25" s="2" t="s">
        <v>23</v>
      </c>
      <c r="F25" s="2">
        <v>56</v>
      </c>
      <c r="G25" s="12" t="str">
        <f>IF(F25&gt;60,"Distinction",IF(F25&gt;40,"pass","fail"))</f>
        <v>pass</v>
      </c>
    </row>
    <row r="26" spans="2:7">
      <c r="E26" s="2" t="s">
        <v>24</v>
      </c>
      <c r="F26" s="2">
        <v>40</v>
      </c>
      <c r="G26" s="12" t="str">
        <f>IF(F26&gt;60,"Distinction",IF(F26&gt;40,"pass","fail"))</f>
        <v>fail</v>
      </c>
    </row>
    <row r="27" spans="2:7">
      <c r="E27" s="2" t="s">
        <v>25</v>
      </c>
      <c r="F27" s="2">
        <v>46</v>
      </c>
      <c r="G27" s="12" t="str">
        <f>IF(F27&gt;60,"Distinction",IF(F27&gt;40,"pass","fail"))</f>
        <v>pass</v>
      </c>
    </row>
    <row r="28" spans="2:7">
      <c r="E28" s="2" t="s">
        <v>26</v>
      </c>
      <c r="F28" s="2">
        <v>34</v>
      </c>
      <c r="G28" s="12" t="str">
        <f>IF(F28&gt;60,"Distinction",IF(F28&gt;40,"pass","fail"))</f>
        <v>fail</v>
      </c>
    </row>
    <row r="32" spans="2:7" ht="26.25">
      <c r="B32" s="26" t="s">
        <v>27</v>
      </c>
      <c r="C32" s="21"/>
    </row>
    <row r="35" spans="3:12" ht="18.75">
      <c r="C35" s="17" t="s">
        <v>19</v>
      </c>
      <c r="D35" s="17" t="s">
        <v>28</v>
      </c>
      <c r="E35" s="17" t="s">
        <v>29</v>
      </c>
      <c r="F35" s="17" t="s">
        <v>30</v>
      </c>
      <c r="G35" s="17" t="s">
        <v>31</v>
      </c>
      <c r="J35" s="19" t="s">
        <v>30</v>
      </c>
    </row>
    <row r="36" spans="3:12">
      <c r="C36" t="s">
        <v>32</v>
      </c>
      <c r="D36">
        <v>67</v>
      </c>
      <c r="E36">
        <v>67</v>
      </c>
      <c r="F36" t="b">
        <f>AND(D36&gt;40,E36&gt;40)</f>
        <v>1</v>
      </c>
      <c r="G36" t="b">
        <f>OR(D36&gt;40,E36&gt;40)</f>
        <v>1</v>
      </c>
      <c r="J36" t="s">
        <v>33</v>
      </c>
      <c r="K36" t="s">
        <v>33</v>
      </c>
      <c r="L36" t="s">
        <v>33</v>
      </c>
    </row>
    <row r="37" spans="3:12">
      <c r="C37" t="s">
        <v>34</v>
      </c>
      <c r="D37">
        <v>98</v>
      </c>
      <c r="E37">
        <v>54</v>
      </c>
      <c r="F37" t="b">
        <f>AND(D37&gt;40,E37&gt;40)</f>
        <v>1</v>
      </c>
      <c r="G37" t="b">
        <f>OR(D37&gt;40,E37&gt;40)</f>
        <v>1</v>
      </c>
      <c r="J37" t="s">
        <v>33</v>
      </c>
      <c r="K37" t="s">
        <v>35</v>
      </c>
      <c r="L37" t="s">
        <v>35</v>
      </c>
    </row>
    <row r="38" spans="3:12">
      <c r="C38" t="s">
        <v>36</v>
      </c>
      <c r="D38">
        <v>45</v>
      </c>
      <c r="E38">
        <v>32</v>
      </c>
      <c r="F38" t="b">
        <f>AND(D38&gt;40,E38&gt;40)</f>
        <v>0</v>
      </c>
      <c r="G38" t="b">
        <f>OR(D38&gt;40,E38&gt;40)</f>
        <v>1</v>
      </c>
      <c r="J38" t="s">
        <v>35</v>
      </c>
      <c r="K38" t="s">
        <v>33</v>
      </c>
      <c r="L38" t="s">
        <v>35</v>
      </c>
    </row>
    <row r="39" spans="3:12">
      <c r="C39" t="s">
        <v>37</v>
      </c>
      <c r="D39">
        <v>67</v>
      </c>
      <c r="E39">
        <v>24</v>
      </c>
      <c r="F39" t="b">
        <f>AND(D39&gt;40,E39&gt;40)</f>
        <v>0</v>
      </c>
      <c r="G39" t="b">
        <f>OR(D39&gt;40,E39&gt;40)</f>
        <v>1</v>
      </c>
      <c r="J39" t="s">
        <v>35</v>
      </c>
      <c r="K39" t="s">
        <v>35</v>
      </c>
      <c r="L39" t="s">
        <v>35</v>
      </c>
    </row>
    <row r="40" spans="3:12">
      <c r="C40" t="s">
        <v>38</v>
      </c>
      <c r="D40">
        <v>87</v>
      </c>
      <c r="E40">
        <v>87</v>
      </c>
      <c r="F40" t="b">
        <f>AND(D40&gt;40,E40&gt;40)</f>
        <v>1</v>
      </c>
      <c r="G40" t="b">
        <f>OR(D40&gt;40,E40&gt;40)</f>
        <v>1</v>
      </c>
    </row>
    <row r="42" spans="3:12" ht="18.75">
      <c r="J42" s="20" t="s">
        <v>31</v>
      </c>
    </row>
    <row r="43" spans="3:12">
      <c r="J43" t="s">
        <v>33</v>
      </c>
      <c r="K43" t="s">
        <v>33</v>
      </c>
      <c r="L43" t="s">
        <v>33</v>
      </c>
    </row>
    <row r="44" spans="3:12">
      <c r="J44" t="s">
        <v>33</v>
      </c>
      <c r="K44" t="s">
        <v>35</v>
      </c>
      <c r="L44" t="s">
        <v>33</v>
      </c>
    </row>
    <row r="45" spans="3:12">
      <c r="J45" t="s">
        <v>35</v>
      </c>
      <c r="K45" t="s">
        <v>33</v>
      </c>
      <c r="L45" t="s">
        <v>33</v>
      </c>
    </row>
    <row r="46" spans="3:12">
      <c r="J46" t="s">
        <v>35</v>
      </c>
      <c r="K46" t="s">
        <v>35</v>
      </c>
      <c r="L46" t="s">
        <v>35</v>
      </c>
    </row>
    <row r="50" spans="2:7" ht="31.5">
      <c r="B50" s="23" t="s">
        <v>39</v>
      </c>
      <c r="C50" s="24"/>
      <c r="D50" s="22"/>
      <c r="G50" s="16"/>
    </row>
    <row r="51" spans="2:7" ht="21">
      <c r="D51" s="25"/>
      <c r="E51" s="11" t="s">
        <v>40</v>
      </c>
      <c r="F51" s="11" t="s">
        <v>41</v>
      </c>
      <c r="G51" s="14" t="s">
        <v>21</v>
      </c>
    </row>
    <row r="52" spans="2:7">
      <c r="E52" s="2" t="s">
        <v>42</v>
      </c>
      <c r="F52" s="2">
        <v>78</v>
      </c>
      <c r="G52" s="15" t="str">
        <f>IF(AND(F52&gt;=0,F52&lt;40),"fail",IF(AND(F52&gt;=40,F52&lt;60),"pass",IF(AND(F52&gt;=60,F52&lt;=100),"distinction","invalid")))</f>
        <v>distinction</v>
      </c>
    </row>
    <row r="53" spans="2:7">
      <c r="E53" s="2" t="s">
        <v>43</v>
      </c>
      <c r="F53" s="2">
        <v>67</v>
      </c>
      <c r="G53" s="15" t="str">
        <f>IF(AND(F53&gt;=0,F53&lt;40),"fail",IF(AND(F53&gt;=40,F53&lt;60),"pass",IF(AND(F53&gt;=60,F53&lt;=100),"distinction","invalid")))</f>
        <v>distinction</v>
      </c>
    </row>
    <row r="54" spans="2:7">
      <c r="E54" s="2" t="s">
        <v>44</v>
      </c>
      <c r="F54" s="2">
        <v>34</v>
      </c>
      <c r="G54" s="15" t="str">
        <f>IF(AND(F54&gt;=0,F54&lt;40),"fail",IF(AND(F54&gt;=40,F54&lt;60),"pass",IF(AND(F54&gt;=60,F54&lt;=100),"distinction","invalid")))</f>
        <v>fail</v>
      </c>
    </row>
    <row r="55" spans="2:7" ht="18.75">
      <c r="B55" s="13" t="s">
        <v>41</v>
      </c>
      <c r="C55" s="13" t="s">
        <v>21</v>
      </c>
      <c r="E55" s="2" t="s">
        <v>45</v>
      </c>
      <c r="F55" s="2">
        <v>89</v>
      </c>
      <c r="G55" s="15" t="str">
        <f>IF(AND(F55&gt;=0,F55&lt;40),"fail",IF(AND(F55&gt;=40,F55&lt;60),"pass",IF(AND(F55&gt;=60,F55&lt;=100),"distinction","invalid")))</f>
        <v>distinction</v>
      </c>
    </row>
    <row r="56" spans="2:7">
      <c r="B56" s="2" t="s">
        <v>17</v>
      </c>
      <c r="C56" s="2" t="s">
        <v>18</v>
      </c>
      <c r="E56" s="2" t="s">
        <v>46</v>
      </c>
      <c r="F56" s="2">
        <v>21</v>
      </c>
      <c r="G56" s="15" t="str">
        <f>IF(AND(F56&gt;=0,F56&lt;40),"fail",IF(AND(F56&gt;=40,F56&lt;60),"pass",IF(AND(F56&gt;=60,F56&lt;=100),"distinction","invalid")))</f>
        <v>fail</v>
      </c>
    </row>
    <row r="57" spans="2:7">
      <c r="B57" s="2" t="s">
        <v>47</v>
      </c>
      <c r="C57" s="2" t="s">
        <v>48</v>
      </c>
      <c r="E57" s="2" t="s">
        <v>49</v>
      </c>
      <c r="F57" s="2">
        <v>78</v>
      </c>
      <c r="G57" s="15" t="str">
        <f>IF(AND(F57&gt;=0,F57&lt;40),"fail",IF(AND(F57&gt;=40,F57&lt;60),"pass",IF(AND(F57&gt;=60,F57&lt;=100),"distinction","invalid")))</f>
        <v>distinction</v>
      </c>
    </row>
    <row r="58" spans="2:7">
      <c r="B58" s="2" t="s">
        <v>50</v>
      </c>
      <c r="C58" s="2" t="s">
        <v>14</v>
      </c>
      <c r="E58" s="2" t="s">
        <v>51</v>
      </c>
      <c r="F58" s="2">
        <v>35</v>
      </c>
      <c r="G58" s="15" t="str">
        <f>IF(AND(F58&gt;=0,F58&lt;40),"fail",IF(AND(F58&gt;=40,F58&lt;60),"pass",IF(AND(F58&gt;=60,F58&lt;=100),"distinction","invalid")))</f>
        <v>fail</v>
      </c>
    </row>
    <row r="59" spans="2:7">
      <c r="B59" s="2" t="s">
        <v>52</v>
      </c>
      <c r="C59" s="2" t="s">
        <v>53</v>
      </c>
      <c r="E59" s="2" t="s">
        <v>54</v>
      </c>
      <c r="F59" s="2">
        <v>97</v>
      </c>
      <c r="G59" s="15" t="str">
        <f>IF(AND(F59&gt;=0,F59&lt;40),"fail",IF(AND(F59&gt;=40,F59&lt;60),"pass",IF(AND(F59&gt;=60,F59&lt;=100),"distinction","invalid")))</f>
        <v>distinction</v>
      </c>
    </row>
    <row r="60" spans="2:7">
      <c r="E60" s="2" t="s">
        <v>55</v>
      </c>
      <c r="F60" s="2">
        <v>101</v>
      </c>
      <c r="G60" s="15" t="str">
        <f>IF(AND(F60&gt;=0,F60&lt;40),"fail",IF(AND(F60&gt;=40,F60&lt;60),"pass",IF(AND(F60&gt;=60,F60&lt;=100),"distinction","invalid")))</f>
        <v>invalid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Tanush Kumar N</cp:lastModifiedBy>
  <cp:revision/>
  <dcterms:created xsi:type="dcterms:W3CDTF">2025-11-07T08:42:43Z</dcterms:created>
  <dcterms:modified xsi:type="dcterms:W3CDTF">2025-11-24T10:11:44Z</dcterms:modified>
  <cp:category/>
  <cp:contentStatus/>
</cp:coreProperties>
</file>