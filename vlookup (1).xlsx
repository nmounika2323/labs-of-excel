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/>
  <xr:revisionPtr revIDLastSave="520" documentId="11_0B1D56BE9CDCCE836B02CE7A5FB0D4A9BBFD1C62" xr6:coauthVersionLast="47" xr6:coauthVersionMax="47" xr10:uidLastSave="{A6C7B744-1121-4E29-93B7-F563EBA561C5}"/>
  <bookViews>
    <workbookView xWindow="240" yWindow="105" windowWidth="14805" windowHeight="8010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0" i="1" l="1"/>
  <c r="F71" i="1"/>
  <c r="F72" i="1"/>
  <c r="F69" i="1"/>
  <c r="F68" i="1"/>
  <c r="F67" i="1"/>
  <c r="K57" i="1" a="1"/>
  <c r="K57" i="1"/>
  <c r="H50" i="1"/>
  <c r="H51" i="1"/>
  <c r="H52" i="1"/>
  <c r="H53" i="1"/>
  <c r="H54" i="1"/>
  <c r="H49" i="1"/>
  <c r="E68" i="1"/>
  <c r="E69" i="1"/>
  <c r="E70" i="1"/>
  <c r="E71" i="1"/>
  <c r="E72" i="1"/>
  <c r="E67" i="1"/>
  <c r="H58" i="1"/>
  <c r="H61" i="1"/>
  <c r="H59" i="1"/>
  <c r="H60" i="1"/>
  <c r="H62" i="1"/>
  <c r="H63" i="1"/>
  <c r="H40" i="1"/>
  <c r="H45" i="1"/>
  <c r="H41" i="1"/>
  <c r="H42" i="1"/>
  <c r="H43" i="1"/>
  <c r="H44" i="1"/>
  <c r="I32" i="1"/>
  <c r="I33" i="1"/>
  <c r="I34" i="1"/>
  <c r="I35" i="1"/>
  <c r="I36" i="1"/>
  <c r="I31" i="1"/>
  <c r="H32" i="1"/>
  <c r="H33" i="1"/>
  <c r="H34" i="1"/>
  <c r="H35" i="1"/>
  <c r="H36" i="1"/>
  <c r="H31" i="1"/>
  <c r="I22" i="1"/>
  <c r="I23" i="1"/>
  <c r="I24" i="1"/>
  <c r="I25" i="1"/>
  <c r="I26" i="1"/>
  <c r="I27" i="1"/>
  <c r="H23" i="1"/>
  <c r="H24" i="1"/>
  <c r="H25" i="1"/>
  <c r="H26" i="1"/>
  <c r="H27" i="1"/>
  <c r="H22" i="1"/>
  <c r="H14" i="1"/>
  <c r="H15" i="1"/>
  <c r="H16" i="1"/>
  <c r="H17" i="1"/>
  <c r="H18" i="1"/>
  <c r="H1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<sst xmlns="http://schemas.openxmlformats.org/spreadsheetml/2006/main" count="58" uniqueCount="26">
  <si>
    <t>Product 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</si>
  <si>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</si>
  <si>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</si>
  <si>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</si>
  <si>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</si>
  <si>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</si>
  <si>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</si>
  <si>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</si>
  <si>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</si>
  <si>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Use VLOOKUP to find the products name each productID in the orders worksheet</t>
  </si>
  <si>
    <t>Order ID</t>
  </si>
  <si>
    <t>Quantity</t>
  </si>
  <si>
    <t>1.produt name</t>
  </si>
  <si>
    <t>Use VLOOKUP to find the price for each productID in the orders worksheet,then calculate the total price by multiying the quantity by the product price.</t>
  </si>
  <si>
    <t>2.Total price</t>
  </si>
  <si>
    <t xml:space="preserve"> Use vlooup to check if there are any productID in the worksheet that do not exist in the products worksheet.</t>
  </si>
  <si>
    <t>Exist/not Exist</t>
  </si>
  <si>
    <t>Assume a discount of 10% is given on all products. Use VLOOKUP to find the original price and then calculate the discounted price.</t>
  </si>
  <si>
    <t>Discount 10%</t>
  </si>
  <si>
    <t>Assume  VLOOKUP to find the price of each product ID and then calculate the order value . Find the maximum order value from the list.</t>
  </si>
  <si>
    <t>5.Maximum order</t>
  </si>
  <si>
    <t>Use VLOOKUP to find out which products from the products worksheet have not ordered.</t>
  </si>
  <si>
    <t>Not Ordered</t>
  </si>
  <si>
    <t>Use VLOOKUP to find the products name and summarizethe total quantity soid for each product.</t>
  </si>
  <si>
    <t>Product name</t>
  </si>
  <si>
    <t>quantity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</si>
</sst>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charset val="1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 applyAlignment="1"/>
    <xf numFmtId="0" fontId="0" fillId="0" borderId="1" xfId="0" applyBorder="1" applyAlignment="1">
      <alignment wrapText="1"/>
    </xf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/>
    <xf numFmtId="0" fontId="1" fillId="0" borderId="0" xfId="0" applyFont="1" applyAlignment="1">
      <alignment wrapText="1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/>
    <xf numFmtId="0" fontId="0" fillId="0" borderId="3" xfId="0" applyBorder="1" applyAlignment="1"/>
    <xf numFmtId="0" fontId="0" fillId="0" borderId="3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72"/>
  <sheetViews>
    <sheetView tabSelected="1" workbookViewId="0">
      <selection activeCell="C80" sqref="C80"/>
    </sheetView>
  </sheetViews>
  <sheetFormatPr defaultRowHeight="15" x14ac:dyDescent="0.2"/>
  <cols>
    <col min="2" max="2" width="9.81640625" bestFit="1" customWidth="1"/>
    <col min="3" max="3" width="9.28125" bestFit="1" customWidth="1"/>
    <col min="5" max="6" width="36.58984375" bestFit="1" customWidth="1"/>
    <col min="7" max="7" width="16.8125" customWidth="1"/>
    <col min="8" max="8" width="15.73828125" customWidth="1"/>
    <col min="9" max="9" width="13.046875" customWidth="1"/>
    <col min="10" max="10" width="14.796875" customWidth="1"/>
    <col min="11" max="11" width="18.5625" customWidth="1"/>
    <col min="12" max="12" width="10.0859375" customWidth="1"/>
    <col min="13" max="13" width="15.87109375" bestFit="1" customWidth="1"/>
    <col min="14" max="14" width="14.390625" customWidth="1"/>
    <col min="15" max="15" width="23.40625" bestFit="1" customWidth="1"/>
  </cols>
  <sheetData>
    <row r="2" spans="2:15" x14ac:dyDescent="0.2">
      <c r="B2" s="5" t="s">
        <v>0</v>
      </c>
      <c r="C2" s="5" t="s">
        <v>1</v>
      </c>
      <c r="D2" s="5" t="s">
        <v>2</v>
      </c>
      <c r="F2" s="11"/>
      <c r="G2" s="11"/>
      <c r="H2" s="11"/>
      <c r="I2" s="11"/>
      <c r="J2" s="11"/>
      <c r="K2" s="12"/>
      <c r="L2" s="11"/>
      <c r="M2" s="11"/>
      <c r="N2" s="11"/>
      <c r="O2" s="11"/>
    </row>
    <row r="3" spans="2:15" ht="18.75" customHeight="1" x14ac:dyDescent="0.2">
      <c r="B3" s="3">
        <v>101</v>
      </c>
      <c r="C3" s="3" t="s">
        <v>3</v>
      </c>
      <c r="D3" s="3">
        <v>120</v>
      </c>
      <c r="F3" s="11"/>
      <c r="G3" s="11"/>
      <c r="H3" s="11"/>
      <c r="I3" s="11"/>
      <c r="J3" s="11"/>
      <c r="K3" s="12"/>
      <c r="L3" s="11"/>
      <c r="M3" s="11"/>
      <c r="N3" s="11"/>
      <c r="O3" s="11"/>
    </row>
    <row r="4" spans="2:15" x14ac:dyDescent="0.2">
      <c r="B4" s="3">
        <v>102</v>
      </c>
      <c r="C4" s="3" t="s">
        <v>4</v>
      </c>
      <c r="D4" s="3">
        <v>150</v>
      </c>
      <c r="F4" s="11"/>
      <c r="G4" s="11"/>
      <c r="H4" s="11"/>
      <c r="I4" s="11"/>
      <c r="J4" s="11"/>
      <c r="K4" s="12"/>
      <c r="L4" s="11"/>
      <c r="M4" s="11"/>
      <c r="N4" s="11"/>
      <c r="O4" s="11"/>
    </row>
    <row r="5" spans="2:15" x14ac:dyDescent="0.2">
      <c r="B5" s="3">
        <v>103</v>
      </c>
      <c r="C5" s="3" t="s">
        <v>5</v>
      </c>
      <c r="D5" s="3">
        <v>200</v>
      </c>
      <c r="F5" s="11"/>
      <c r="G5" s="11"/>
      <c r="H5" s="11"/>
      <c r="I5" s="11"/>
      <c r="J5" s="11"/>
      <c r="K5" s="12"/>
      <c r="L5" s="11"/>
      <c r="M5" s="11"/>
      <c r="N5" s="11"/>
      <c r="O5" s="11"/>
    </row>
    <row r="6" spans="2:15" x14ac:dyDescent="0.2">
      <c r="B6" s="3">
        <v>104</v>
      </c>
      <c r="C6" s="3" t="s">
        <v>6</v>
      </c>
      <c r="D6" s="3">
        <v>90</v>
      </c>
      <c r="F6" s="11"/>
      <c r="G6" s="11"/>
      <c r="H6" s="11"/>
      <c r="I6" s="11"/>
      <c r="J6" s="11"/>
      <c r="K6" s="12"/>
      <c r="L6" s="11"/>
      <c r="M6" s="11"/>
      <c r="N6" s="11"/>
      <c r="O6" s="11"/>
    </row>
    <row r="7" spans="2:15" x14ac:dyDescent="0.2">
      <c r="B7" s="3">
        <v>105</v>
      </c>
      <c r="C7" s="3" t="s">
        <v>7</v>
      </c>
      <c r="D7" s="3">
        <v>220</v>
      </c>
      <c r="F7" s="11"/>
      <c r="G7" s="11"/>
      <c r="H7" s="11"/>
      <c r="I7" s="11"/>
      <c r="J7" s="11"/>
      <c r="K7" s="12"/>
      <c r="L7" s="11"/>
      <c r="M7" s="11"/>
      <c r="N7" s="11"/>
      <c r="O7" s="11"/>
    </row>
    <row r="8" spans="2:15" x14ac:dyDescent="0.2">
      <c r="B8" s="3">
        <v>106</v>
      </c>
      <c r="C8" s="3" t="s">
        <v>8</v>
      </c>
      <c r="D8" s="3">
        <v>130</v>
      </c>
      <c r="F8" s="11"/>
      <c r="G8" s="11"/>
      <c r="H8" s="11"/>
      <c r="I8" s="11"/>
      <c r="J8" s="11"/>
      <c r="K8" s="12"/>
      <c r="L8" s="11"/>
      <c r="M8" s="11"/>
      <c r="N8" s="11"/>
      <c r="O8" s="11"/>
    </row>
    <row r="9" spans="2:15" x14ac:dyDescent="0.2">
      <c r="H9" s="17"/>
    </row>
    <row r="11" spans="2:15" x14ac:dyDescent="0.2">
      <c r="D11">
        <v>1</v>
      </c>
      <c r="E11" s="20" t="s">
        <v>9</v>
      </c>
      <c r="F11" s="20"/>
      <c r="G11" s="18"/>
      <c r="H11" s="18"/>
    </row>
    <row r="12" spans="2:15" x14ac:dyDescent="0.2">
      <c r="E12" s="1" t="s">
        <v>10</v>
      </c>
      <c r="F12" s="1" t="s">
        <v>0</v>
      </c>
      <c r="G12" s="1" t="s">
        <v>11</v>
      </c>
      <c r="H12" s="1" t="s">
        <v>12</v>
      </c>
      <c r="I12" s="11"/>
    </row>
    <row r="13" spans="2:15" x14ac:dyDescent="0.2">
      <c r="E13" s="3">
        <v>1</v>
      </c>
      <c r="F13" s="3">
        <v>101</v>
      </c>
      <c r="G13" s="3">
        <v>2</v>
      </c>
      <c r="H13" s="3" t="str">
        <f>VLOOKUP(C3,C3:C8,1,0)</f>
        <v>Product A</v>
      </c>
      <c r="I13" s="8"/>
    </row>
    <row r="14" spans="2:15" x14ac:dyDescent="0.2">
      <c r="E14" s="3">
        <v>2</v>
      </c>
      <c r="F14" s="3">
        <v>102</v>
      </c>
      <c r="G14" s="3">
        <v>1</v>
      </c>
      <c r="H14" s="3" t="str">
        <f>VLOOKUP(C4,C4:C9,1,0)</f>
        <v>Product B</v>
      </c>
      <c r="I14" s="8"/>
    </row>
    <row r="15" spans="2:15" x14ac:dyDescent="0.2">
      <c r="E15" s="3">
        <v>3</v>
      </c>
      <c r="F15" s="3">
        <v>103</v>
      </c>
      <c r="G15" s="3">
        <v>4</v>
      </c>
      <c r="H15" s="3" t="str">
        <f>VLOOKUP(C5,C5:C10,1,0)</f>
        <v>Product C</v>
      </c>
      <c r="I15" s="8"/>
    </row>
    <row r="16" spans="2:15" x14ac:dyDescent="0.2">
      <c r="E16" s="3">
        <v>4</v>
      </c>
      <c r="F16" s="3">
        <v>104</v>
      </c>
      <c r="G16" s="3">
        <v>3</v>
      </c>
      <c r="H16" s="3" t="str">
        <f>VLOOKUP(C6,C6:C11,1,0)</f>
        <v>Product D</v>
      </c>
      <c r="I16" s="8"/>
    </row>
    <row r="17" spans="4:12" x14ac:dyDescent="0.2">
      <c r="E17" s="3">
        <v>5</v>
      </c>
      <c r="F17" s="3">
        <v>105</v>
      </c>
      <c r="G17" s="3">
        <v>5</v>
      </c>
      <c r="H17" s="3" t="str">
        <f>VLOOKUP(C7,C7:C12,1,0)</f>
        <v>Product E</v>
      </c>
      <c r="I17" s="8"/>
    </row>
    <row r="18" spans="4:12" x14ac:dyDescent="0.2">
      <c r="E18" s="3">
        <v>6</v>
      </c>
      <c r="F18" s="3">
        <v>106</v>
      </c>
      <c r="G18" s="3">
        <v>6</v>
      </c>
      <c r="H18" s="3" t="str">
        <f>VLOOKUP(C8,C8:C13,1,0)</f>
        <v>Product F</v>
      </c>
      <c r="I18" s="8"/>
    </row>
    <row r="20" spans="4:12" x14ac:dyDescent="0.2">
      <c r="D20">
        <v>2</v>
      </c>
      <c r="E20" s="20" t="s">
        <v>13</v>
      </c>
      <c r="F20" s="20"/>
      <c r="G20" s="20"/>
      <c r="H20" s="20"/>
      <c r="I20" s="20"/>
      <c r="J20" s="19"/>
      <c r="K20" s="17"/>
      <c r="L20" s="17"/>
    </row>
    <row r="21" spans="4:12" x14ac:dyDescent="0.2">
      <c r="E21" s="1" t="s">
        <v>10</v>
      </c>
      <c r="F21" s="1" t="s">
        <v>0</v>
      </c>
      <c r="G21" s="2" t="s">
        <v>11</v>
      </c>
      <c r="H21" s="1" t="s">
        <v>12</v>
      </c>
      <c r="I21" s="1" t="s">
        <v>14</v>
      </c>
    </row>
    <row r="22" spans="4:12" x14ac:dyDescent="0.2">
      <c r="E22" s="3">
        <v>1</v>
      </c>
      <c r="F22" s="3">
        <v>101</v>
      </c>
      <c r="G22" s="4">
        <v>2</v>
      </c>
      <c r="H22" s="3" t="str">
        <f>VLOOKUP(C3,C3:C8,1,0)</f>
        <v>Product A</v>
      </c>
      <c r="I22" s="3">
        <f>VLOOKUP(B3,B3:D8,3,FALSE)</f>
        <v>120</v>
      </c>
    </row>
    <row r="23" spans="4:12" x14ac:dyDescent="0.2">
      <c r="E23" s="3">
        <v>2</v>
      </c>
      <c r="F23" s="3">
        <v>102</v>
      </c>
      <c r="G23" s="4">
        <v>1</v>
      </c>
      <c r="H23" s="3" t="str">
        <f t="shared" ref="H23:H27" si="0">VLOOKUP(C4,C4:C9,1,0)</f>
        <v>Product B</v>
      </c>
      <c r="I23" s="3">
        <f t="shared" ref="I23:I27" si="1">VLOOKUP(B4,B4:D9,3,FALSE)</f>
        <v>150</v>
      </c>
    </row>
    <row r="24" spans="4:12" x14ac:dyDescent="0.2">
      <c r="E24" s="3">
        <v>3</v>
      </c>
      <c r="F24" s="3">
        <v>103</v>
      </c>
      <c r="G24" s="4">
        <v>4</v>
      </c>
      <c r="H24" s="3" t="str">
        <f t="shared" si="0"/>
        <v>Product C</v>
      </c>
      <c r="I24" s="3">
        <f t="shared" si="1"/>
        <v>200</v>
      </c>
    </row>
    <row r="25" spans="4:12" x14ac:dyDescent="0.2">
      <c r="E25" s="3">
        <v>4</v>
      </c>
      <c r="F25" s="3">
        <v>104</v>
      </c>
      <c r="G25" s="4">
        <v>3</v>
      </c>
      <c r="H25" s="3" t="str">
        <f t="shared" si="0"/>
        <v>Product D</v>
      </c>
      <c r="I25" s="3">
        <f t="shared" si="1"/>
        <v>90</v>
      </c>
    </row>
    <row r="26" spans="4:12" x14ac:dyDescent="0.2">
      <c r="E26" s="3">
        <v>5</v>
      </c>
      <c r="F26" s="3">
        <v>105</v>
      </c>
      <c r="G26" s="4">
        <v>5</v>
      </c>
      <c r="H26" s="3" t="str">
        <f t="shared" si="0"/>
        <v>Product E</v>
      </c>
      <c r="I26" s="3">
        <f t="shared" si="1"/>
        <v>220</v>
      </c>
    </row>
    <row r="27" spans="4:12" x14ac:dyDescent="0.2">
      <c r="E27" s="3">
        <v>6</v>
      </c>
      <c r="F27" s="3">
        <v>106</v>
      </c>
      <c r="G27" s="4">
        <v>6</v>
      </c>
      <c r="H27" s="3" t="str">
        <f t="shared" si="0"/>
        <v>Product F</v>
      </c>
      <c r="I27" s="3">
        <f t="shared" si="1"/>
        <v>130</v>
      </c>
    </row>
    <row r="29" spans="4:12" ht="14.25" customHeight="1" x14ac:dyDescent="0.2">
      <c r="D29">
        <v>3</v>
      </c>
      <c r="E29" s="21" t="s">
        <v>15</v>
      </c>
      <c r="F29" s="21"/>
      <c r="G29" s="21"/>
      <c r="H29" s="21"/>
      <c r="I29" s="21"/>
      <c r="L29" s="16"/>
    </row>
    <row r="30" spans="4:12" x14ac:dyDescent="0.2">
      <c r="E30" s="1" t="s">
        <v>10</v>
      </c>
      <c r="F30" s="1" t="s">
        <v>0</v>
      </c>
      <c r="G30" s="1" t="s">
        <v>11</v>
      </c>
      <c r="H30" s="1" t="s">
        <v>12</v>
      </c>
      <c r="I30" s="14" t="s">
        <v>16</v>
      </c>
    </row>
    <row r="31" spans="4:12" x14ac:dyDescent="0.2">
      <c r="E31" s="3">
        <v>1</v>
      </c>
      <c r="F31" s="3">
        <v>101</v>
      </c>
      <c r="G31" s="3">
        <v>2</v>
      </c>
      <c r="H31" s="3" t="str">
        <f>VLOOKUP(C3,C3:C8,1,0)</f>
        <v>Product A</v>
      </c>
      <c r="I31" s="13" t="str">
        <f>IF(ISNA(MATCH(H31,H31:H36,0)),"Not Found","ok")</f>
        <v>ok</v>
      </c>
    </row>
    <row r="32" spans="4:12" x14ac:dyDescent="0.2">
      <c r="E32" s="3">
        <v>2</v>
      </c>
      <c r="F32" s="3">
        <v>102</v>
      </c>
      <c r="G32" s="3">
        <v>1</v>
      </c>
      <c r="H32" s="3" t="str">
        <f t="shared" ref="H32:H36" si="2">VLOOKUP(C4,C4:C9,1,0)</f>
        <v>Product B</v>
      </c>
      <c r="I32" s="13" t="str">
        <f t="shared" ref="I32:I36" si="3">IF(ISNA(MATCH(H32,H32:H37,0)),"Not Found","ok")</f>
        <v>ok</v>
      </c>
    </row>
    <row r="33" spans="4:9" x14ac:dyDescent="0.2">
      <c r="E33" s="3">
        <v>3</v>
      </c>
      <c r="F33" s="3">
        <v>103</v>
      </c>
      <c r="G33" s="3">
        <v>4</v>
      </c>
      <c r="H33" s="3" t="str">
        <f t="shared" si="2"/>
        <v>Product C</v>
      </c>
      <c r="I33" s="13" t="str">
        <f t="shared" si="3"/>
        <v>ok</v>
      </c>
    </row>
    <row r="34" spans="4:9" x14ac:dyDescent="0.2">
      <c r="E34" s="3">
        <v>4</v>
      </c>
      <c r="F34" s="3">
        <v>104</v>
      </c>
      <c r="G34" s="3">
        <v>3</v>
      </c>
      <c r="H34" s="3" t="str">
        <f t="shared" si="2"/>
        <v>Product D</v>
      </c>
      <c r="I34" s="13" t="str">
        <f t="shared" si="3"/>
        <v>ok</v>
      </c>
    </row>
    <row r="35" spans="4:9" x14ac:dyDescent="0.2">
      <c r="E35" s="3">
        <v>5</v>
      </c>
      <c r="F35" s="3">
        <v>105</v>
      </c>
      <c r="G35" s="3">
        <v>5</v>
      </c>
      <c r="H35" s="3" t="str">
        <f t="shared" si="2"/>
        <v>Product E</v>
      </c>
      <c r="I35" s="13" t="str">
        <f t="shared" si="3"/>
        <v>ok</v>
      </c>
    </row>
    <row r="36" spans="4:9" x14ac:dyDescent="0.2">
      <c r="E36" s="3">
        <v>6</v>
      </c>
      <c r="F36" s="3">
        <v>106</v>
      </c>
      <c r="G36" s="3">
        <v>6</v>
      </c>
      <c r="H36" s="3" t="str">
        <f t="shared" si="2"/>
        <v>Product F</v>
      </c>
      <c r="I36" s="13" t="str">
        <f t="shared" si="3"/>
        <v>ok</v>
      </c>
    </row>
    <row r="38" spans="4:9" x14ac:dyDescent="0.2">
      <c r="D38">
        <v>4</v>
      </c>
      <c r="E38" s="19" t="s">
        <v>17</v>
      </c>
      <c r="F38" s="19"/>
      <c r="G38" s="19"/>
      <c r="H38" s="19"/>
      <c r="I38" s="19"/>
    </row>
    <row r="39" spans="4:9" x14ac:dyDescent="0.2">
      <c r="E39" s="1" t="s">
        <v>10</v>
      </c>
      <c r="F39" s="1" t="s">
        <v>0</v>
      </c>
      <c r="G39" s="1" t="s">
        <v>2</v>
      </c>
      <c r="H39" s="14" t="s">
        <v>18</v>
      </c>
    </row>
    <row r="40" spans="4:9" x14ac:dyDescent="0.2">
      <c r="E40" s="3">
        <v>1</v>
      </c>
      <c r="F40" s="3">
        <v>101</v>
      </c>
      <c r="G40" s="3">
        <v>120</v>
      </c>
      <c r="H40" s="13">
        <f>VLOOKUP(B3,B3:D8,3,0)*(1-10%)</f>
        <v>108</v>
      </c>
    </row>
    <row r="41" spans="4:9" x14ac:dyDescent="0.2">
      <c r="E41" s="3">
        <v>2</v>
      </c>
      <c r="F41" s="3">
        <v>102</v>
      </c>
      <c r="G41" s="3">
        <v>150</v>
      </c>
      <c r="H41" s="13">
        <f t="shared" ref="H41:H44" si="4">VLOOKUP(B4,B4:D9,3,0)*(1-10%)</f>
        <v>135</v>
      </c>
    </row>
    <row r="42" spans="4:9" x14ac:dyDescent="0.2">
      <c r="E42" s="3">
        <v>3</v>
      </c>
      <c r="F42" s="3">
        <v>103</v>
      </c>
      <c r="G42" s="3">
        <v>200</v>
      </c>
      <c r="H42" s="13">
        <f t="shared" si="4"/>
        <v>180</v>
      </c>
    </row>
    <row r="43" spans="4:9" x14ac:dyDescent="0.2">
      <c r="E43" s="3">
        <v>4</v>
      </c>
      <c r="F43" s="3">
        <v>104</v>
      </c>
      <c r="G43" s="3">
        <v>90</v>
      </c>
      <c r="H43" s="13">
        <f t="shared" si="4"/>
        <v>81</v>
      </c>
    </row>
    <row r="44" spans="4:9" x14ac:dyDescent="0.2">
      <c r="E44" s="3">
        <v>5</v>
      </c>
      <c r="F44" s="3">
        <v>105</v>
      </c>
      <c r="G44" s="3">
        <v>220</v>
      </c>
      <c r="H44" s="13">
        <f t="shared" si="4"/>
        <v>198</v>
      </c>
    </row>
    <row r="45" spans="4:9" x14ac:dyDescent="0.2">
      <c r="E45" s="3">
        <v>6</v>
      </c>
      <c r="F45" s="3">
        <v>106</v>
      </c>
      <c r="G45" s="3">
        <v>130</v>
      </c>
      <c r="H45" s="13">
        <f>VLOOKUP(B8,B8:D13,3,0)*(1-10%)</f>
        <v>117</v>
      </c>
    </row>
    <row r="47" spans="4:9" x14ac:dyDescent="0.2">
      <c r="D47">
        <v>5</v>
      </c>
      <c r="E47" s="19" t="s">
        <v>19</v>
      </c>
      <c r="F47" s="19"/>
      <c r="G47" s="19"/>
      <c r="H47" s="19"/>
      <c r="I47" s="19"/>
    </row>
    <row r="48" spans="4:9" x14ac:dyDescent="0.2">
      <c r="E48" s="1" t="s">
        <v>10</v>
      </c>
      <c r="F48" s="1" t="s">
        <v>0</v>
      </c>
      <c r="G48" s="1" t="s">
        <v>11</v>
      </c>
      <c r="H48" s="1" t="s">
        <v>20</v>
      </c>
    </row>
    <row r="49" spans="4:11" x14ac:dyDescent="0.2">
      <c r="E49" s="3">
        <v>1</v>
      </c>
      <c r="F49" s="3">
        <v>101</v>
      </c>
      <c r="G49" s="3">
        <v>2</v>
      </c>
      <c r="H49" s="13">
        <f>VLOOKUP(B3,B3:D8,3,0)</f>
        <v>120</v>
      </c>
    </row>
    <row r="50" spans="4:11" x14ac:dyDescent="0.2">
      <c r="E50" s="3">
        <v>2</v>
      </c>
      <c r="F50" s="3">
        <v>102</v>
      </c>
      <c r="G50" s="3">
        <v>1</v>
      </c>
      <c r="H50" s="13">
        <f t="shared" ref="H50:H54" si="5">VLOOKUP(B4,B4:D9,3,0)</f>
        <v>150</v>
      </c>
    </row>
    <row r="51" spans="4:11" x14ac:dyDescent="0.2">
      <c r="E51" s="3">
        <v>3</v>
      </c>
      <c r="F51" s="3">
        <v>103</v>
      </c>
      <c r="G51" s="3">
        <v>4</v>
      </c>
      <c r="H51" s="13">
        <f t="shared" si="5"/>
        <v>200</v>
      </c>
    </row>
    <row r="52" spans="4:11" x14ac:dyDescent="0.2">
      <c r="E52" s="3">
        <v>4</v>
      </c>
      <c r="F52" s="3">
        <v>104</v>
      </c>
      <c r="G52" s="3">
        <v>3</v>
      </c>
      <c r="H52" s="13">
        <f t="shared" si="5"/>
        <v>90</v>
      </c>
    </row>
    <row r="53" spans="4:11" x14ac:dyDescent="0.2">
      <c r="E53" s="3">
        <v>5</v>
      </c>
      <c r="F53" s="3">
        <v>105</v>
      </c>
      <c r="G53" s="3">
        <v>5</v>
      </c>
      <c r="H53" s="13">
        <f t="shared" si="5"/>
        <v>220</v>
      </c>
    </row>
    <row r="54" spans="4:11" x14ac:dyDescent="0.2">
      <c r="E54" s="3">
        <v>6</v>
      </c>
      <c r="F54" s="3">
        <v>106</v>
      </c>
      <c r="G54" s="3">
        <v>6</v>
      </c>
      <c r="H54" s="13">
        <f t="shared" si="5"/>
        <v>130</v>
      </c>
    </row>
    <row r="56" spans="4:11" x14ac:dyDescent="0.2">
      <c r="D56">
        <v>6</v>
      </c>
      <c r="E56" s="19" t="s">
        <v>21</v>
      </c>
      <c r="F56" s="19"/>
      <c r="G56" s="19"/>
      <c r="H56" s="19"/>
      <c r="I56" s="19"/>
    </row>
    <row r="57" spans="4:11" x14ac:dyDescent="0.2">
      <c r="E57" s="15" t="s">
        <v>10</v>
      </c>
      <c r="F57" s="15" t="s">
        <v>0</v>
      </c>
      <c r="G57" s="15" t="s">
        <v>11</v>
      </c>
      <c r="H57" s="15" t="s">
        <v>22</v>
      </c>
      <c r="K57" cm="1">
        <f t="array" aca="1" ref="K57" ca="1">SUMIF(F$13:F$18,VLOOKUP(E,B$3:C$8,2,FALSE),G$13:G$18)</f>
        <v>0</v>
      </c>
    </row>
    <row r="58" spans="4:11" ht="15.75" customHeight="1" x14ac:dyDescent="0.2">
      <c r="E58" s="9">
        <v>1</v>
      </c>
      <c r="F58" s="9">
        <v>101</v>
      </c>
      <c r="G58" s="9">
        <v>2</v>
      </c>
      <c r="H58" s="10" t="str">
        <f>IF(ISNA(VLOOKUP(B3,C2:C8,1,0)),"Not ordered","Ordered")</f>
        <v>Not ordered</v>
      </c>
    </row>
    <row r="59" spans="4:11" x14ac:dyDescent="0.2">
      <c r="E59" s="9">
        <v>2</v>
      </c>
      <c r="F59" s="9">
        <v>102</v>
      </c>
      <c r="G59" s="9">
        <v>1</v>
      </c>
      <c r="H59" s="10" t="str">
        <f t="shared" ref="H59:H63" si="6">IF(ISNA(VLOOKUP(B4,$C$3:$C$8,1,0)),"Not Ordered","Ordered")</f>
        <v>Not Ordered</v>
      </c>
    </row>
    <row r="60" spans="4:11" x14ac:dyDescent="0.2">
      <c r="E60" s="9">
        <v>3</v>
      </c>
      <c r="F60" s="9">
        <v>103</v>
      </c>
      <c r="G60" s="9">
        <v>4</v>
      </c>
      <c r="H60" s="10" t="str">
        <f t="shared" si="6"/>
        <v>Not Ordered</v>
      </c>
    </row>
    <row r="61" spans="4:11" x14ac:dyDescent="0.2">
      <c r="E61" s="9">
        <v>4</v>
      </c>
      <c r="F61" s="9">
        <v>104</v>
      </c>
      <c r="G61" s="9">
        <v>3</v>
      </c>
      <c r="H61" s="10" t="str">
        <f>IF(ISNA(VLOOKUP(B6,$C$3:$C$8,1,0)),"Not Ordered","Ordered")</f>
        <v>Not Ordered</v>
      </c>
    </row>
    <row r="62" spans="4:11" x14ac:dyDescent="0.2">
      <c r="E62" s="9">
        <v>5</v>
      </c>
      <c r="F62" s="9">
        <v>105</v>
      </c>
      <c r="G62" s="9">
        <v>5</v>
      </c>
      <c r="H62" s="10" t="str">
        <f t="shared" si="6"/>
        <v>Not Ordered</v>
      </c>
    </row>
    <row r="63" spans="4:11" x14ac:dyDescent="0.2">
      <c r="E63" s="9">
        <v>6</v>
      </c>
      <c r="F63" s="9">
        <v>106</v>
      </c>
      <c r="G63" s="9">
        <v>6</v>
      </c>
      <c r="H63" s="10" t="str">
        <f t="shared" si="6"/>
        <v>Not Ordered</v>
      </c>
    </row>
    <row r="65" spans="4:8" x14ac:dyDescent="0.2">
      <c r="D65">
        <v>7</v>
      </c>
      <c r="E65" s="19" t="s">
        <v>23</v>
      </c>
      <c r="F65" s="19"/>
      <c r="G65" s="19"/>
      <c r="H65" s="19"/>
    </row>
    <row r="66" spans="4:8" x14ac:dyDescent="0.2">
      <c r="E66" s="14" t="s">
        <v>24</v>
      </c>
      <c r="F66" s="14" t="s">
        <v>25</v>
      </c>
    </row>
    <row r="67" spans="4:8" x14ac:dyDescent="0.2">
      <c r="E67" s="13" t="str">
        <f>VLOOKUP(C3,C2:C8,1,0)</f>
        <v>Product A</v>
      </c>
      <c r="F67" s="10">
        <f>SUMIF(H13:H18,E67,G13:G18)</f>
        <v>2</v>
      </c>
    </row>
    <row r="68" spans="4:8" x14ac:dyDescent="0.2">
      <c r="E68" s="13" t="str">
        <f t="shared" ref="E68:E72" si="7">VLOOKUP(C4,C3:C9,1,0)</f>
        <v>Product B</v>
      </c>
      <c r="F68" s="13">
        <f>SUMIF(H13:H18,E68,G13:G18)</f>
        <v>1</v>
      </c>
    </row>
    <row r="69" spans="4:8" x14ac:dyDescent="0.2">
      <c r="E69" s="13" t="str">
        <f t="shared" si="7"/>
        <v>Product C</v>
      </c>
      <c r="F69" s="13">
        <f>SUMIF(H13:H18,E69,G13:G18)</f>
        <v>4</v>
      </c>
    </row>
    <row r="70" spans="4:8" x14ac:dyDescent="0.2">
      <c r="E70" s="13" t="str">
        <f t="shared" si="7"/>
        <v>Product D</v>
      </c>
      <c r="F70" s="10">
        <f>SUMIF(H13:H18,E70,G13:G18)</f>
        <v>3</v>
      </c>
    </row>
    <row r="71" spans="4:8" x14ac:dyDescent="0.2">
      <c r="E71" s="13" t="str">
        <f t="shared" si="7"/>
        <v>Product E</v>
      </c>
      <c r="F71" s="13">
        <f>SUMIF(H16:H21,E71,G16:G21)</f>
        <v>5</v>
      </c>
    </row>
    <row r="72" spans="4:8" x14ac:dyDescent="0.2">
      <c r="E72" s="13" t="str">
        <f t="shared" si="7"/>
        <v>Product F</v>
      </c>
      <c r="F72" s="13">
        <f>SUMIF(H16:H21,E72,G16:G21)</f>
        <v>6</v>
      </c>
    </row>
  </sheetData>
  <mergeCells count="1">
    <mergeCell ref="E29:I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C4BC3-F9CC-4549-8CAA-C3E194292EDC}">
  <dimension ref="A3:J9"/>
  <sheetViews>
    <sheetView workbookViewId="0">
      <selection activeCell="J4" sqref="J4"/>
    </sheetView>
  </sheetViews>
  <sheetFormatPr defaultRowHeight="15" x14ac:dyDescent="0.2"/>
  <cols>
    <col min="10" max="10" width="9.81640625" bestFit="1" customWidth="1"/>
  </cols>
  <sheetData>
    <row r="3" spans="1:10" x14ac:dyDescent="0.2">
      <c r="A3" s="5" t="s">
        <v>0</v>
      </c>
      <c r="B3" s="6" t="s">
        <v>10</v>
      </c>
      <c r="C3" s="7" t="s">
        <v>11</v>
      </c>
      <c r="E3" s="6" t="s">
        <v>10</v>
      </c>
      <c r="F3" s="5" t="s">
        <v>0</v>
      </c>
      <c r="G3" s="7" t="s">
        <v>11</v>
      </c>
      <c r="H3" s="5" t="s">
        <v>1</v>
      </c>
      <c r="I3" s="5" t="s">
        <v>2</v>
      </c>
      <c r="J3" s="1"/>
    </row>
    <row r="4" spans="1:10" x14ac:dyDescent="0.2">
      <c r="A4" s="3">
        <v>101</v>
      </c>
      <c r="B4" s="3">
        <v>1</v>
      </c>
      <c r="C4" s="4">
        <v>2</v>
      </c>
      <c r="E4" s="3">
        <v>1</v>
      </c>
      <c r="F4" s="3">
        <v>101</v>
      </c>
      <c r="G4" s="4">
        <v>2</v>
      </c>
      <c r="H4" s="3" t="s">
        <v>3</v>
      </c>
      <c r="I4" s="3">
        <v>120</v>
      </c>
      <c r="J4" s="3"/>
    </row>
    <row r="5" spans="1:10" x14ac:dyDescent="0.2">
      <c r="A5" s="3">
        <v>102</v>
      </c>
      <c r="B5" s="3">
        <v>2</v>
      </c>
      <c r="C5" s="4">
        <v>1</v>
      </c>
      <c r="E5" s="3">
        <v>2</v>
      </c>
      <c r="F5" s="3">
        <v>102</v>
      </c>
      <c r="G5" s="4">
        <v>1</v>
      </c>
      <c r="H5" s="3" t="s">
        <v>4</v>
      </c>
      <c r="I5" s="3">
        <v>150</v>
      </c>
      <c r="J5" s="3"/>
    </row>
    <row r="6" spans="1:10" x14ac:dyDescent="0.2">
      <c r="A6" s="3">
        <v>103</v>
      </c>
      <c r="B6" s="3">
        <v>3</v>
      </c>
      <c r="C6" s="4">
        <v>4</v>
      </c>
      <c r="E6" s="3">
        <v>3</v>
      </c>
      <c r="F6" s="3">
        <v>103</v>
      </c>
      <c r="G6" s="4">
        <v>4</v>
      </c>
      <c r="H6" s="3" t="s">
        <v>5</v>
      </c>
      <c r="I6" s="3">
        <v>200</v>
      </c>
      <c r="J6" s="3"/>
    </row>
    <row r="7" spans="1:10" x14ac:dyDescent="0.2">
      <c r="A7" s="3">
        <v>104</v>
      </c>
      <c r="B7" s="3">
        <v>4</v>
      </c>
      <c r="C7" s="4">
        <v>3</v>
      </c>
      <c r="E7" s="3">
        <v>4</v>
      </c>
      <c r="F7" s="3">
        <v>104</v>
      </c>
      <c r="G7" s="4">
        <v>3</v>
      </c>
      <c r="H7" s="3" t="s">
        <v>6</v>
      </c>
      <c r="I7" s="3">
        <v>90</v>
      </c>
      <c r="J7" s="3"/>
    </row>
    <row r="8" spans="1:10" x14ac:dyDescent="0.2">
      <c r="A8" s="3">
        <v>105</v>
      </c>
      <c r="B8" s="3">
        <v>5</v>
      </c>
      <c r="C8" s="4">
        <v>5</v>
      </c>
      <c r="E8" s="3">
        <v>5</v>
      </c>
      <c r="F8" s="3">
        <v>105</v>
      </c>
      <c r="G8" s="4">
        <v>5</v>
      </c>
      <c r="H8" s="3" t="s">
        <v>7</v>
      </c>
      <c r="I8" s="3">
        <v>220</v>
      </c>
      <c r="J8" s="3"/>
    </row>
    <row r="9" spans="1:10" x14ac:dyDescent="0.2">
      <c r="A9" s="3">
        <v>106</v>
      </c>
      <c r="B9" s="3">
        <v>6</v>
      </c>
      <c r="C9" s="4">
        <v>6</v>
      </c>
      <c r="E9" s="3">
        <v>6</v>
      </c>
      <c r="F9" s="3">
        <v>106</v>
      </c>
      <c r="G9" s="4">
        <v>6</v>
      </c>
      <c r="H9" s="3" t="s">
        <v>8</v>
      </c>
      <c r="I9" s="3">
        <v>130</v>
      </c>
      <c r="J9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Tanush Kumar N</cp:lastModifiedBy>
  <cp:revision/>
  <dcterms:created xsi:type="dcterms:W3CDTF">2025-11-20T10:24:48Z</dcterms:created>
  <dcterms:modified xsi:type="dcterms:W3CDTF">2025-11-23T09:42:03Z</dcterms:modified>
  <cp:category/>
  <cp:contentStatus/>
</cp:coreProperties>
</file>